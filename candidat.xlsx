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DDDE6"/>
        <bgColor rgb="00FDDDE6"/>
      </patternFill>
    </fill>
    <fill>
      <patternFill patternType="solid">
        <fgColor rgb="00D6E8FA"/>
        <bgColor rgb="00D6E8FA"/>
      </patternFill>
    </fill>
    <fill>
      <patternFill patternType="solid">
        <fgColor rgb="00D6F0DF"/>
        <bgColor rgb="00D6F0DF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selection activeCell="A1" sqref="A1"/>
    </sheetView>
  </sheetViews>
  <sheetFormatPr baseColWidth="8" defaultRowHeight="15"/>
  <cols>
    <col width="169" customWidth="1" min="1" max="1"/>
    <col width="16" customWidth="1" min="2" max="2"/>
    <col width="16" customWidth="1" min="3" max="3"/>
    <col width="14" customWidth="1" min="4" max="4"/>
    <col width="50" customWidth="1" min="5" max="5"/>
  </cols>
  <sheetData>
    <row r="1">
      <c r="A1" s="2" t="inlineStr">
        <is>
          <t>Critère d'évaluation</t>
        </is>
      </c>
      <c r="B1" s="2" t="inlineStr">
        <is>
          <t>Poids (%)</t>
        </is>
      </c>
      <c r="C1" s="2" t="inlineStr">
        <is>
          <t>Score (0-5)</t>
        </is>
      </c>
      <c r="D1" s="2" t="inlineStr">
        <is>
          <t>Catégorie</t>
        </is>
      </c>
      <c r="E1" s="2" t="inlineStr">
        <is>
          <t>Note pondérée</t>
        </is>
      </c>
    </row>
    <row r="2">
      <c r="A2" s="3" t="inlineStr">
        <is>
          <t>Moralité et intégrité : le Candidat est-il intègre, de bonnes mœurs, de bonne moralité ? Laisseriez-vous le Candidat seul avec votre fille de 14 ans ?</t>
        </is>
      </c>
      <c r="B2" s="4" t="n">
        <v>18</v>
      </c>
      <c r="C2" s="4">
        <f>1</f>
        <v/>
      </c>
      <c r="D2" s="3" t="inlineStr">
        <is>
          <t>PSY</t>
        </is>
      </c>
      <c r="E2" s="4">
        <f>C2*B2/100</f>
        <v/>
      </c>
    </row>
    <row r="3">
      <c r="A3" s="3" t="inlineStr">
        <is>
          <t>Vulnérabilités et addictions : le Candidat a-t-il des addictions ou habitudes qui le rendraient vulnérable (drogue, alcool, aventures extraconjugales, etc.) ?</t>
        </is>
      </c>
      <c r="B3" s="4" t="n">
        <v>12</v>
      </c>
      <c r="C3" s="4">
        <f>1</f>
        <v/>
      </c>
      <c r="D3" s="3" t="inlineStr">
        <is>
          <t>PSY</t>
        </is>
      </c>
      <c r="E3" s="4">
        <f>C3*B3/100</f>
        <v/>
      </c>
    </row>
    <row r="4">
      <c r="A4" s="3" t="inlineStr">
        <is>
          <t>Santé et condition physique : le Candidat paraît-il en bonne santé, y a-t-il des signes de déclin cognitif?</t>
        </is>
      </c>
      <c r="B4" s="4" t="n">
        <v>4</v>
      </c>
      <c r="C4" s="4">
        <f>1</f>
        <v/>
      </c>
      <c r="D4" s="3" t="inlineStr">
        <is>
          <t>PSY</t>
        </is>
      </c>
      <c r="E4" s="4">
        <f>C4*B4/100</f>
        <v/>
      </c>
    </row>
    <row r="5">
      <c r="A5" s="5" t="inlineStr">
        <is>
          <t>Capacité à commander : Imaginez le Candidat chef d'unité sur un champ de bataille ou PDG d'une grande entreprise. Quel niveau de maîtrise vous vient spontanément ?</t>
        </is>
      </c>
      <c r="B5" s="6" t="n">
        <v>12</v>
      </c>
      <c r="C5" s="6">
        <f>1</f>
        <v/>
      </c>
      <c r="D5" s="5" t="inlineStr">
        <is>
          <t>LEADERSHIP</t>
        </is>
      </c>
      <c r="E5" s="6">
        <f>C5*B5/100</f>
        <v/>
      </c>
    </row>
    <row r="6">
      <c r="A6" s="5" t="inlineStr">
        <is>
          <t>Capacité à négocier et à comprendre les rapports de force</t>
        </is>
      </c>
      <c r="B6" s="6" t="n">
        <v>7</v>
      </c>
      <c r="C6" s="6">
        <f>1</f>
        <v/>
      </c>
      <c r="D6" s="5" t="inlineStr">
        <is>
          <t>LEADERSHIP</t>
        </is>
      </c>
      <c r="E6" s="6">
        <f>C6*B6/100</f>
        <v/>
      </c>
    </row>
    <row r="7">
      <c r="A7" s="5" t="inlineStr">
        <is>
          <t>X a-t-il constitué une équipe soudée et capable ?</t>
        </is>
      </c>
      <c r="B7" s="6" t="n">
        <v>6</v>
      </c>
      <c r="C7" s="6">
        <f>1</f>
        <v/>
      </c>
      <c r="D7" s="5" t="inlineStr">
        <is>
          <t>LEADERSHIP</t>
        </is>
      </c>
      <c r="E7" s="6">
        <f>C7*B7/100</f>
        <v/>
      </c>
    </row>
    <row r="8">
      <c r="A8" s="5" t="inlineStr">
        <is>
          <t>Est-il remplaçable par une IA ?</t>
        </is>
      </c>
      <c r="B8" s="6" t="n">
        <v>1</v>
      </c>
      <c r="C8" s="6">
        <f>1</f>
        <v/>
      </c>
      <c r="D8" s="5" t="inlineStr">
        <is>
          <t>LEADERSHIP</t>
        </is>
      </c>
      <c r="E8" s="6">
        <f>C8*B8/100</f>
        <v/>
      </c>
    </row>
    <row r="9">
      <c r="A9" s="7" t="inlineStr">
        <is>
          <t>Succès antérieurs : a-t-il capitalisé sur ses réussites ?</t>
        </is>
      </c>
      <c r="B9" s="8" t="n">
        <v>6</v>
      </c>
      <c r="C9" s="8">
        <f>1</f>
        <v/>
      </c>
      <c r="D9" s="7" t="inlineStr">
        <is>
          <t>XP</t>
        </is>
      </c>
      <c r="E9" s="8">
        <f>C9*B9/100</f>
        <v/>
      </c>
    </row>
    <row r="10">
      <c r="A10" s="7" t="inlineStr">
        <is>
          <t>Connaissance réelle des rouages de l'État : le Candidat connaît-il les administrations et peut-il vraiment leur tenir tête ?</t>
        </is>
      </c>
      <c r="B10" s="8" t="n">
        <v>5</v>
      </c>
      <c r="C10" s="8">
        <f>1</f>
        <v/>
      </c>
      <c r="D10" s="7" t="inlineStr">
        <is>
          <t>XP</t>
        </is>
      </c>
      <c r="E10" s="8">
        <f>C10*B10/100</f>
        <v/>
      </c>
    </row>
    <row r="11">
      <c r="A11" s="7" t="inlineStr">
        <is>
          <t>Expérience du secteur privé (ne serait-ce que pour des petits boulots)</t>
        </is>
      </c>
      <c r="B11" s="8" t="n">
        <v>5</v>
      </c>
      <c r="C11" s="8">
        <f>1</f>
        <v/>
      </c>
      <c r="D11" s="7" t="inlineStr">
        <is>
          <t>XP</t>
        </is>
      </c>
      <c r="E11" s="8">
        <f>C11*B11/100</f>
        <v/>
      </c>
    </row>
    <row r="12">
      <c r="A12" s="7" t="inlineStr">
        <is>
          <t>Connaissance des startups deeptech, du transfert technologique et de la recherche privée (redondance volontaire avec tech avancée)</t>
        </is>
      </c>
      <c r="B12" s="8" t="n">
        <v>4</v>
      </c>
      <c r="C12" s="8">
        <f>1</f>
        <v/>
      </c>
      <c r="D12" s="7" t="inlineStr">
        <is>
          <t>XP</t>
        </is>
      </c>
      <c r="E12" s="8">
        <f>C12*B12/100</f>
        <v/>
      </c>
    </row>
    <row r="13">
      <c r="A13" s="9" t="inlineStr">
        <is>
          <t>Échecs précédents : le Candidat a-t-il appris de ses erreurs ? Les disqualifient-il ?</t>
        </is>
      </c>
      <c r="B13" s="10" t="n">
        <v>10</v>
      </c>
      <c r="C13" s="10">
        <f>1</f>
        <v/>
      </c>
      <c r="D13" s="9" t="inlineStr">
        <is>
          <t>DEPTH</t>
        </is>
      </c>
      <c r="E13" s="10">
        <f>C13*B13/100</f>
        <v/>
      </c>
    </row>
    <row r="14">
      <c r="A14" s="9" t="inlineStr">
        <is>
          <t>Expertise académique: le Candidat a-t-il une vraie profondeur en économie, sciences ou philosophie sur laquelle s'appuyer? Le candidat a-t-il une culture historique?</t>
        </is>
      </c>
      <c r="B14" s="10" t="n">
        <v>3</v>
      </c>
      <c r="C14" s="10">
        <f>1</f>
        <v/>
      </c>
      <c r="D14" s="9" t="inlineStr">
        <is>
          <t>DEPTH</t>
        </is>
      </c>
      <c r="E14" s="10">
        <f>C14*B14/100</f>
        <v/>
      </c>
    </row>
    <row r="15">
      <c r="A15" s="9" t="inlineStr">
        <is>
          <t>Maîtrise des technologies les plus avancées : IA, cybersécurité, énergie, génie des matériaux… le Candidat a-t-il écrit des programmes informatiques ?</t>
        </is>
      </c>
      <c r="B15" s="10" t="n">
        <v>5</v>
      </c>
      <c r="C15" s="10">
        <f>1</f>
        <v/>
      </c>
      <c r="D15" s="9" t="inlineStr">
        <is>
          <t>DEPTH</t>
        </is>
      </c>
      <c r="E15" s="10">
        <f>C15*B15/100</f>
        <v/>
      </c>
    </row>
    <row r="16">
      <c r="A16" s="9" t="inlineStr">
        <is>
          <t>Maîtrise des langues étrangères et compréhension fine des interlocuteurs (américains, chinois, russes, allemands…)</t>
        </is>
      </c>
      <c r="B16" s="10" t="n">
        <v>2</v>
      </c>
      <c r="C16" s="10">
        <f>1</f>
        <v/>
      </c>
      <c r="D16" s="9" t="inlineStr">
        <is>
          <t>DEPTH</t>
        </is>
      </c>
      <c r="E16" s="10">
        <f>C16*B16/100</f>
        <v/>
      </c>
    </row>
    <row r="17">
      <c r="B17" s="11" t="n"/>
      <c r="C17" s="11" t="n"/>
      <c r="E17" s="11" t="n"/>
    </row>
    <row r="18">
      <c r="A18" t="inlineStr">
        <is>
          <t>SCORES GLOBAUX</t>
        </is>
      </c>
    </row>
    <row r="19">
      <c r="A19" t="inlineStr">
        <is>
          <t>Score global recommandé = Weighted MIN</t>
        </is>
      </c>
      <c r="B19">
        <f>SUM(B2:B16)</f>
        <v/>
      </c>
      <c r="C19">
        <f>SUM(C2:C16)</f>
        <v/>
      </c>
      <c r="E19">
        <f>MIN(E2:E16)</f>
        <v/>
      </c>
    </row>
    <row r="20">
      <c r="A20" t="inlineStr">
        <is>
          <t>Score global alternatif = Weighted PROD (géométrique)</t>
        </is>
      </c>
      <c r="B20">
        <f>SUM(B2:B16)</f>
        <v/>
      </c>
      <c r="C20">
        <f>SUM(C2:C16)</f>
        <v/>
      </c>
      <c r="E20">
        <f>5 * EXP(SUMPRODUCT(LN(C2:C16/5), B2:B16/100))</f>
        <v/>
      </c>
    </row>
    <row r="21"/>
    <row r="22">
      <c r="A22" t="inlineStr">
        <is>
          <t>DISQUALIFIÉ SI :</t>
        </is>
      </c>
    </row>
    <row r="23">
      <c r="A23" t="inlineStr">
        <is>
          <t>Weighted MIN ≤ 1</t>
        </is>
      </c>
    </row>
    <row r="24">
      <c r="A24" t="inlineStr">
        <is>
          <t>Score = 0 n'importe où</t>
        </is>
      </c>
    </row>
    <row r="25">
      <c r="A25" t="inlineStr">
        <is>
          <t>Score ≤ 1 en PSY ou LEADERSHIP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2026-04-01T13:44:54Z</dcterms:created>
  <dcterms:modified xsi:type="dcterms:W3CDTF">2026-04-01T13:44:54Z</dcterms:modified>
</cp:coreProperties>
</file>